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едиаплан" sheetId="1" state="visible" r:id="rId1"/>
    <sheet xmlns:r="http://schemas.openxmlformats.org/officeDocument/2006/relationships" name="Мотиваци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DD10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9" fontId="0" fillId="0" borderId="0" pivotButton="0" quotePrefix="0" xfId="0"/>
    <xf numFmtId="3" fontId="0" fillId="0" borderId="0" pivotButton="0" quotePrefix="0" xfId="0"/>
    <xf numFmtId="3" fontId="0" fillId="2" borderId="0" pivotButton="0" quotePrefix="0" xfId="0"/>
    <xf numFmtId="10" fontId="0" fillId="2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Медиаплан теста · Слетать.ру · Ozon Performance · IV квартал 2026 · Cerebro Click Out</t>
        </is>
      </c>
    </row>
    <row r="2">
      <c r="A2" t="inlineStr">
        <is>
          <t>Жёлтые ячейки — входные параметры, меняйте их: расчёт пересчитается автоматически. CPM/CTR — бенчмарки ваших сегментов из кабинета Ozon. Сопровождение — по шкале Церебро (см. блок «Шкала» ниже). Urban Ads — второй шаг отдельным расчётом, WB Media недоступен (WB Тревел).</t>
        </is>
      </c>
    </row>
    <row r="4">
      <c r="A4" s="2" t="inlineStr">
        <is>
          <t>Параметры</t>
        </is>
      </c>
      <c r="D4" s="2" t="inlineStr">
        <is>
          <t>Шкала сопровождения, доля от расхода</t>
        </is>
      </c>
    </row>
    <row r="5">
      <c r="A5" t="inlineStr">
        <is>
          <t>Медиабюджет Ozon Performance, ₽/мес</t>
        </is>
      </c>
      <c r="B5" s="3" t="n">
        <v>500000</v>
      </c>
      <c r="D5" t="inlineStr">
        <is>
          <t>Расход до, ₽</t>
        </is>
      </c>
      <c r="E5" t="inlineStr">
        <is>
          <t>1-й месяц</t>
        </is>
      </c>
      <c r="F5" t="inlineStr">
        <is>
          <t>со 2-го месяца (со скидкой)</t>
        </is>
      </c>
    </row>
    <row r="6">
      <c r="A6" t="inlineStr">
        <is>
          <t>Конверсия клика в заявку</t>
        </is>
      </c>
      <c r="B6" s="4" t="n">
        <v>0.015</v>
      </c>
      <c r="D6" t="n">
        <v>200000</v>
      </c>
      <c r="E6" t="inlineStr">
        <is>
          <t>50 000 ₽</t>
        </is>
      </c>
      <c r="F6" t="inlineStr">
        <is>
          <t>50 000 ₽</t>
        </is>
      </c>
    </row>
    <row r="7">
      <c r="A7" t="inlineStr">
        <is>
          <t>Средняя частота показа (для охвата)</t>
        </is>
      </c>
      <c r="B7" s="3" t="n">
        <v>3</v>
      </c>
      <c r="D7" t="n">
        <v>360000</v>
      </c>
      <c r="E7" s="5" t="n">
        <v>0.2</v>
      </c>
      <c r="F7" s="5" t="n">
        <v>0.2</v>
      </c>
    </row>
    <row r="8">
      <c r="A8" t="inlineStr">
        <is>
          <t>Срок теста, мес</t>
        </is>
      </c>
      <c r="B8" s="3" t="n">
        <v>2</v>
      </c>
      <c r="D8" t="n">
        <v>1099999</v>
      </c>
      <c r="E8" s="5" t="n">
        <v>0.2</v>
      </c>
      <c r="F8" s="5" t="n">
        <v>0.1</v>
      </c>
    </row>
    <row r="9">
      <c r="D9" t="n">
        <v>1999999</v>
      </c>
      <c r="E9" s="5" t="n">
        <v>0.2</v>
      </c>
      <c r="F9" s="5" t="n">
        <v>0.08</v>
      </c>
    </row>
    <row r="10">
      <c r="D10" t="n">
        <v>6999999</v>
      </c>
      <c r="E10" s="5" t="n">
        <v>0.2</v>
      </c>
      <c r="F10" s="5" t="n">
        <v>0.06</v>
      </c>
    </row>
    <row r="11">
      <c r="D11" t="n">
        <v>9999999</v>
      </c>
      <c r="E11" s="5" t="n">
        <v>0.2</v>
      </c>
      <c r="F11" s="5" t="n">
        <v>0.04</v>
      </c>
    </row>
    <row r="12">
      <c r="D12" t="inlineStr">
        <is>
          <t>свыше</t>
        </is>
      </c>
      <c r="E12" s="5" t="n">
        <v>0.2</v>
      </c>
      <c r="F12" s="5" t="n">
        <v>0.02</v>
      </c>
    </row>
    <row r="14">
      <c r="A14" s="2" t="inlineStr">
        <is>
          <t>Расчёт по сегментам (бюджет делится поровну между сегментами)</t>
        </is>
      </c>
    </row>
    <row r="15">
      <c r="A15" s="2" t="inlineStr">
        <is>
          <t>Сегмент</t>
        </is>
      </c>
      <c r="B15" s="2" t="inlineStr">
        <is>
          <t>Бюджет, ₽</t>
        </is>
      </c>
      <c r="C15" s="2" t="inlineStr">
        <is>
          <t>CPM, ₽</t>
        </is>
      </c>
      <c r="D15" s="2" t="inlineStr">
        <is>
          <t>CTR</t>
        </is>
      </c>
      <c r="E15" s="2" t="inlineStr">
        <is>
          <t>Показы</t>
        </is>
      </c>
      <c r="F15" s="2" t="inlineStr">
        <is>
          <t>Охват (оценка)</t>
        </is>
      </c>
      <c r="G15" s="2" t="inlineStr">
        <is>
          <t>Клики</t>
        </is>
      </c>
      <c r="H15" s="2" t="inlineStr">
        <is>
          <t>CPC, ₽</t>
        </is>
      </c>
      <c r="I15" s="2" t="inlineStr">
        <is>
          <t>Заявки</t>
        </is>
      </c>
      <c r="J15" s="2" t="inlineStr">
        <is>
          <t>CPL медиа, ₽</t>
        </is>
      </c>
      <c r="K15" s="2" t="inlineStr">
        <is>
          <t>Ёмкость: уникальных / мес</t>
        </is>
      </c>
    </row>
    <row r="16">
      <c r="A16" t="inlineStr">
        <is>
          <t>Ozon Travel + Путешествия (аксессуары)</t>
        </is>
      </c>
      <c r="B16" s="6">
        <f>$B$5/3</f>
        <v/>
      </c>
      <c r="C16" s="7" t="n">
        <v>170</v>
      </c>
      <c r="D16" s="8" t="n">
        <v>0.0023</v>
      </c>
      <c r="E16" s="6">
        <f>B16/C16*1000</f>
        <v/>
      </c>
      <c r="F16" s="6">
        <f>E16/$B$7</f>
        <v/>
      </c>
      <c r="G16" s="6">
        <f>E16*D16</f>
        <v/>
      </c>
      <c r="H16" s="6">
        <f>B16/G16</f>
        <v/>
      </c>
      <c r="I16" s="6">
        <f>G16*$B$6</f>
        <v/>
      </c>
      <c r="J16" s="6">
        <f>B16/I16</f>
        <v/>
      </c>
      <c r="K16" s="6" t="n">
        <v>19458325</v>
      </c>
    </row>
    <row r="17">
      <c r="A17" t="inlineStr">
        <is>
          <t>Пляжная одежда + солнцезащита (сезон)</t>
        </is>
      </c>
      <c r="B17" s="6">
        <f>$B$5/3</f>
        <v/>
      </c>
      <c r="C17" s="7" t="n">
        <v>143</v>
      </c>
      <c r="D17" s="8" t="n">
        <v>0.0015</v>
      </c>
      <c r="E17" s="6">
        <f>B17/C17*1000</f>
        <v/>
      </c>
      <c r="F17" s="6">
        <f>E17/$B$7</f>
        <v/>
      </c>
      <c r="G17" s="6">
        <f>E17*D17</f>
        <v/>
      </c>
      <c r="H17" s="6">
        <f>B17/G17</f>
        <v/>
      </c>
      <c r="I17" s="6">
        <f>G17*$B$6</f>
        <v/>
      </c>
      <c r="J17" s="6">
        <f>B17/I17</f>
        <v/>
      </c>
      <c r="K17" s="6" t="n">
        <v>7191660</v>
      </c>
    </row>
    <row r="18">
      <c r="A18" t="inlineStr">
        <is>
          <t>Широкая 25–55, города вылета</t>
        </is>
      </c>
      <c r="B18" s="6">
        <f>$B$5/3</f>
        <v/>
      </c>
      <c r="C18" s="7" t="n">
        <v>144</v>
      </c>
      <c r="D18" s="8" t="n">
        <v>0.0011</v>
      </c>
      <c r="E18" s="6">
        <f>B18/C18*1000</f>
        <v/>
      </c>
      <c r="F18" s="6">
        <f>E18/$B$7</f>
        <v/>
      </c>
      <c r="G18" s="6">
        <f>E18*D18</f>
        <v/>
      </c>
      <c r="H18" s="6">
        <f>B18/G18</f>
        <v/>
      </c>
      <c r="I18" s="6">
        <f>G18*$B$6</f>
        <v/>
      </c>
      <c r="J18" s="6">
        <f>B18/I18</f>
        <v/>
      </c>
      <c r="K18" s="6" t="n">
        <v>21646162</v>
      </c>
    </row>
    <row r="19">
      <c r="A19" s="2" t="inlineStr">
        <is>
          <t>Итого медиа Ozon Performance</t>
        </is>
      </c>
      <c r="B19" s="9">
        <f>SUM(B16:B18)</f>
        <v/>
      </c>
      <c r="C19" s="6">
        <f>B19/E19*1000</f>
        <v/>
      </c>
      <c r="D19" s="10">
        <f>G19/E19</f>
        <v/>
      </c>
      <c r="E19" s="9">
        <f>SUM(E16:E18)</f>
        <v/>
      </c>
      <c r="F19" s="9">
        <f>SUM(F16:F18)</f>
        <v/>
      </c>
      <c r="G19" s="9">
        <f>SUM(G16:G18)</f>
        <v/>
      </c>
      <c r="H19" s="6">
        <f>B19/G19</f>
        <v/>
      </c>
      <c r="I19" s="9">
        <f>SUM(I16:I18)</f>
        <v/>
      </c>
      <c r="J19" s="6">
        <f>B19/I19</f>
        <v/>
      </c>
      <c r="K19" s="6" t="n"/>
    </row>
    <row r="20">
      <c r="A20" t="inlineStr">
        <is>
          <t>Сопровождение, 1-й месяц (по шкале)</t>
        </is>
      </c>
      <c r="B20" s="6">
        <f>IF($B$5&lt;=200000,50000,IF($B$5&lt;=360000,$B$5*0.2,$B$5*0.2))</f>
        <v/>
      </c>
      <c r="C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t="inlineStr">
        <is>
          <t>Сопровождение, со 2-го месяца (со скидкой)</t>
        </is>
      </c>
      <c r="B21" s="6">
        <f>IF($B$5&lt;=200000,50000,IF($B$5&lt;=360000,$B$5*0.2,IF($B$5&lt;=1099999,$B$5*0.1,IF($B$5&lt;=1999999,$B$5*0.08,IF($B$5&lt;=6999999,$B$5*0.06,IF($B$5&lt;=9999999,$B$5*0.04,$B$5*0.02))))))</f>
        <v/>
      </c>
      <c r="C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t="inlineStr">
        <is>
          <t>Итого в месяц, 1-й месяц</t>
        </is>
      </c>
      <c r="B22" s="6">
        <f>B19+B20</f>
        <v/>
      </c>
      <c r="C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t="inlineStr">
        <is>
          <t>Итого в месяц, со 2-го месяца</t>
        </is>
      </c>
      <c r="B23" s="6">
        <f>B19+B21</f>
        <v/>
      </c>
      <c r="C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t="inlineStr">
        <is>
          <t>CPC с сопровождением (со 2-го мес), ₽</t>
        </is>
      </c>
      <c r="B24" s="6">
        <f>B23/G19</f>
        <v/>
      </c>
      <c r="C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t="inlineStr">
        <is>
          <t>CPL с сопровождением (со 2-го мес), ₽</t>
        </is>
      </c>
      <c r="B25" s="6">
        <f>B23/I19</f>
        <v/>
      </c>
      <c r="C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t="inlineStr">
        <is>
          <t>Итого за срок теста, ₽</t>
        </is>
      </c>
      <c r="B26" s="6">
        <f>B22+B23*($B$8-1)</f>
        <v/>
      </c>
      <c r="C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t="inlineStr">
        <is>
          <t>Кликов за срок теста</t>
        </is>
      </c>
      <c r="B27" s="6">
        <f>G19*$B$8</f>
        <v/>
      </c>
      <c r="C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t="inlineStr">
        <is>
          <t>Заявок за срок теста</t>
        </is>
      </c>
      <c r="B28" s="6">
        <f>I19*$B$8</f>
        <v/>
      </c>
      <c r="C28" s="6" t="n"/>
      <c r="E28" s="6" t="n"/>
      <c r="F28" s="6" t="n"/>
      <c r="G28" s="6" t="n"/>
      <c r="H28" s="6" t="n"/>
      <c r="I28" s="6" t="n"/>
      <c r="J28" s="6" t="n"/>
      <c r="K28" s="6" t="n"/>
    </row>
    <row r="30">
      <c r="A30" t="inlineStr">
        <is>
          <t>Условия: контракт от 6 мес, тестовый период 8 недель. Оговорённый тестовый бюджет — 500 000 ₽/мес, может быть меньше (ниже 360 001 ₽ сопровождение 20% без скидки).</t>
        </is>
      </c>
    </row>
    <row r="31">
      <c r="A31" t="inlineStr">
        <is>
          <t>Церебро Таргет · направление Click Out · clickout.cerebrotarget.ru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" t="inlineStr">
        <is>
          <t>Скидка на сопровождение от рекламного оборота · шкала Церебро</t>
        </is>
      </c>
    </row>
    <row r="2">
      <c r="A2" t="inlineStr">
        <is>
          <t>Жёлтая колонка — расход в месяц, меняйте: ставки и суммы пересчитаются. Первый месяц — 20%, со второго — ставка ступени при соблюдении её порога в предыдущем месяце.</t>
        </is>
      </c>
    </row>
    <row r="4">
      <c r="A4" s="2" t="inlineStr">
        <is>
          <t>Расход в месяц, ₽</t>
        </is>
      </c>
      <c r="B4" s="2" t="inlineStr">
        <is>
          <t>Сценарий</t>
        </is>
      </c>
      <c r="C4" s="2" t="inlineStr">
        <is>
          <t>Ставка без скидки</t>
        </is>
      </c>
      <c r="D4" s="2" t="inlineStr">
        <is>
          <t>Ставка со скидкой</t>
        </is>
      </c>
      <c r="E4" s="2" t="inlineStr">
        <is>
          <t>Сопровождение без скидки, ₽</t>
        </is>
      </c>
      <c r="F4" s="2" t="inlineStr">
        <is>
          <t>Со скидкой, ₽</t>
        </is>
      </c>
      <c r="G4" s="2" t="inlineStr">
        <is>
          <t>Экономия в месяц, ₽</t>
        </is>
      </c>
      <c r="H4" s="2" t="inlineStr">
        <is>
          <t>Экономия за 11 мес, ₽</t>
        </is>
      </c>
    </row>
    <row r="5">
      <c r="A5" s="7" t="n">
        <v>350000</v>
      </c>
      <c r="B5" t="inlineStr">
        <is>
          <t>Сокращённый тест</t>
        </is>
      </c>
      <c r="C5" s="5">
        <f>E5/A5</f>
        <v/>
      </c>
      <c r="D5" s="5">
        <f>F5/A5</f>
        <v/>
      </c>
      <c r="E5" s="6">
        <f>IF(A5&lt;=200000,50000,A5*0.2)</f>
        <v/>
      </c>
      <c r="F5" s="6">
        <f>IF(A5&lt;=200000,50000,IF(A5&lt;=360000,A5*0.2,IF(A5&lt;=1099999,A5*0.1,IF(A5&lt;=1999999,A5*0.08,IF(A5&lt;=6999999,A5*0.06,IF(A5&lt;=9999999,A5*0.04,A5*0.02))))))</f>
        <v/>
      </c>
      <c r="G5" s="6">
        <f>E5-F5</f>
        <v/>
      </c>
      <c r="H5" s="6">
        <f>G5*11</f>
        <v/>
      </c>
    </row>
    <row r="6">
      <c r="A6" s="7" t="n">
        <v>500000</v>
      </c>
      <c r="B6" t="inlineStr">
        <is>
          <t>Оговорённый тест</t>
        </is>
      </c>
      <c r="C6" s="5">
        <f>E6/A6</f>
        <v/>
      </c>
      <c r="D6" s="5">
        <f>F6/A6</f>
        <v/>
      </c>
      <c r="E6" s="6">
        <f>IF(A6&lt;=200000,50000,A6*0.2)</f>
        <v/>
      </c>
      <c r="F6" s="6">
        <f>IF(A6&lt;=200000,50000,IF(A6&lt;=360000,A6*0.2,IF(A6&lt;=1099999,A6*0.1,IF(A6&lt;=1999999,A6*0.08,IF(A6&lt;=6999999,A6*0.06,IF(A6&lt;=9999999,A6*0.04,A6*0.02))))))</f>
        <v/>
      </c>
      <c r="G6" s="6">
        <f>E6-F6</f>
        <v/>
      </c>
      <c r="H6" s="6">
        <f>G6*11</f>
        <v/>
      </c>
    </row>
    <row r="7">
      <c r="A7" s="7" t="n">
        <v>750000</v>
      </c>
      <c r="B7" t="inlineStr">
        <is>
          <t>Расширение после теста</t>
        </is>
      </c>
      <c r="C7" s="5">
        <f>E7/A7</f>
        <v/>
      </c>
      <c r="D7" s="5">
        <f>F7/A7</f>
        <v/>
      </c>
      <c r="E7" s="6">
        <f>IF(A7&lt;=200000,50000,A7*0.2)</f>
        <v/>
      </c>
      <c r="F7" s="6">
        <f>IF(A7&lt;=200000,50000,IF(A7&lt;=360000,A7*0.2,IF(A7&lt;=1099999,A7*0.1,IF(A7&lt;=1999999,A7*0.08,IF(A7&lt;=6999999,A7*0.06,IF(A7&lt;=9999999,A7*0.04,A7*0.02))))))</f>
        <v/>
      </c>
      <c r="G7" s="6">
        <f>E7-F7</f>
        <v/>
      </c>
      <c r="H7" s="6">
        <f>G7*11</f>
        <v/>
      </c>
    </row>
    <row r="8">
      <c r="A8" s="7" t="n">
        <v>1100000</v>
      </c>
      <c r="B8" t="inlineStr">
        <is>
          <t>Рост: вторая ступень шкалы</t>
        </is>
      </c>
      <c r="C8" s="5">
        <f>E8/A8</f>
        <v/>
      </c>
      <c r="D8" s="5">
        <f>F8/A8</f>
        <v/>
      </c>
      <c r="E8" s="6">
        <f>IF(A8&lt;=200000,50000,A8*0.2)</f>
        <v/>
      </c>
      <c r="F8" s="6">
        <f>IF(A8&lt;=200000,50000,IF(A8&lt;=360000,A8*0.2,IF(A8&lt;=1099999,A8*0.1,IF(A8&lt;=1999999,A8*0.08,IF(A8&lt;=6999999,A8*0.06,IF(A8&lt;=9999999,A8*0.04,A8*0.02))))))</f>
        <v/>
      </c>
      <c r="G8" s="6">
        <f>E8-F8</f>
        <v/>
      </c>
      <c r="H8" s="6">
        <f>G8*11</f>
        <v/>
      </c>
    </row>
    <row r="9">
      <c r="A9" s="7" t="n">
        <v>2000000</v>
      </c>
      <c r="B9" t="inlineStr">
        <is>
          <t>Федеральный флайт</t>
        </is>
      </c>
      <c r="C9" s="5">
        <f>E9/A9</f>
        <v/>
      </c>
      <c r="D9" s="5">
        <f>F9/A9</f>
        <v/>
      </c>
      <c r="E9" s="6">
        <f>IF(A9&lt;=200000,50000,A9*0.2)</f>
        <v/>
      </c>
      <c r="F9" s="6">
        <f>IF(A9&lt;=200000,50000,IF(A9&lt;=360000,A9*0.2,IF(A9&lt;=1099999,A9*0.1,IF(A9&lt;=1999999,A9*0.08,IF(A9&lt;=6999999,A9*0.06,IF(A9&lt;=9999999,A9*0.04,A9*0.02))))))</f>
        <v/>
      </c>
      <c r="G9" s="6">
        <f>E9-F9</f>
        <v/>
      </c>
      <c r="H9" s="6">
        <f>G9*11</f>
        <v/>
      </c>
    </row>
    <row r="10">
      <c r="A10" s="7" t="n">
        <v>7000000</v>
      </c>
      <c r="B10" t="inlineStr">
        <is>
          <t>Сеть 350+ офисов, все источники</t>
        </is>
      </c>
      <c r="C10" s="5">
        <f>E10/A10</f>
        <v/>
      </c>
      <c r="D10" s="5">
        <f>F10/A10</f>
        <v/>
      </c>
      <c r="E10" s="6">
        <f>IF(A10&lt;=200000,50000,A10*0.2)</f>
        <v/>
      </c>
      <c r="F10" s="6">
        <f>IF(A10&lt;=200000,50000,IF(A10&lt;=360000,A10*0.2,IF(A10&lt;=1099999,A10*0.1,IF(A10&lt;=1999999,A10*0.08,IF(A10&lt;=6999999,A10*0.06,IF(A10&lt;=9999999,A10*0.04,A10*0.02))))))</f>
        <v/>
      </c>
      <c r="G10" s="6">
        <f>E10-F10</f>
        <v/>
      </c>
      <c r="H10" s="6">
        <f>G10*11</f>
        <v/>
      </c>
    </row>
    <row r="11">
      <c r="A11" s="7" t="n">
        <v>10000000</v>
      </c>
      <c r="B11" t="inlineStr">
        <is>
          <t>Верхняя ступень шкалы</t>
        </is>
      </c>
      <c r="C11" s="5">
        <f>E11/A11</f>
        <v/>
      </c>
      <c r="D11" s="5">
        <f>F11/A11</f>
        <v/>
      </c>
      <c r="E11" s="6">
        <f>IF(A11&lt;=200000,50000,A11*0.2)</f>
        <v/>
      </c>
      <c r="F11" s="6">
        <f>IF(A11&lt;=200000,50000,IF(A11&lt;=360000,A11*0.2,IF(A11&lt;=1099999,A11*0.1,IF(A11&lt;=1999999,A11*0.08,IF(A11&lt;=6999999,A11*0.06,IF(A11&lt;=9999999,A11*0.04,A11*0.02))))))</f>
        <v/>
      </c>
      <c r="G11" s="6">
        <f>E11-F11</f>
        <v/>
      </c>
      <c r="H11" s="6">
        <f>G11*11</f>
        <v/>
      </c>
    </row>
    <row r="13">
      <c r="A13" t="inlineStr">
        <is>
          <t>Расход указан без НДС, стоимость сопровождения — с НДС. При сопровождении бонусные рубли не начисляются — действует только скидка.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2026-09-08T10:41:17Z</dcterms:created>
  <dcterms:modified xmlns:dcterms="http://purl.org/dc/terms/" xmlns:xsi="http://www.w3.org/2001/XMLSchema-instance" xsi:type="dcterms:W3CDTF">2026-09-08T10:41:17Z</dcterms:modified>
</cp:coreProperties>
</file>