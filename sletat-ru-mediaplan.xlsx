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диа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DD1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9" fontId="0" fillId="0" borderId="0" pivotButton="0" quotePrefix="0" xfId="0"/>
    <xf numFmtId="3" fontId="0" fillId="0" borderId="0" pivotButton="0" quotePrefix="0" xfId="0"/>
    <xf numFmtId="3" fontId="0" fillId="2" borderId="0" pivotButton="0" quotePrefix="0" xfId="0"/>
    <xf numFmtId="10" fontId="0" fillId="2" borderId="0" pivotButton="0" quotePrefix="0" xfId="0"/>
    <xf numFmtId="3" fontId="2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Медиаплан теста · Слетать.ру · Ozon Performance · IV квартал 2026 · Cerebro Click Out</t>
        </is>
      </c>
    </row>
    <row r="2">
      <c r="A2" t="inlineStr">
        <is>
          <t>Жёлтые ячейки — входные параметры, меняйте их: расчёт пересчитается автоматически. CPM/CTR — бенчмарки ваших сегментов из кабинета Ozon. Сопровождение — по шкале Церебро (см. блок «Шкала» ниже). Urban Ads — второй шаг отдельным расчётом, WB Media недоступен (WB Тревел).</t>
        </is>
      </c>
    </row>
    <row r="4">
      <c r="A4" s="2" t="inlineStr">
        <is>
          <t>Параметры</t>
        </is>
      </c>
      <c r="D4" s="2" t="inlineStr">
        <is>
          <t>Шкала сопровождения, доля от расхода</t>
        </is>
      </c>
    </row>
    <row r="5">
      <c r="A5" t="inlineStr">
        <is>
          <t>Медиабюджет Ozon Performance, ₽/мес</t>
        </is>
      </c>
      <c r="B5" s="3" t="n">
        <v>500000</v>
      </c>
      <c r="D5" t="inlineStr">
        <is>
          <t>Расход до, ₽</t>
        </is>
      </c>
      <c r="E5" t="inlineStr">
        <is>
          <t>1-й месяц</t>
        </is>
      </c>
      <c r="F5" t="inlineStr">
        <is>
          <t>со 2-го месяца (со скидкой)</t>
        </is>
      </c>
    </row>
    <row r="6">
      <c r="A6" t="inlineStr">
        <is>
          <t>Конверсия клика в заявку</t>
        </is>
      </c>
      <c r="B6" s="4" t="n">
        <v>0.015</v>
      </c>
      <c r="D6" t="n">
        <v>200000</v>
      </c>
      <c r="E6" t="inlineStr">
        <is>
          <t>50 000 ₽</t>
        </is>
      </c>
      <c r="F6" t="inlineStr">
        <is>
          <t>50 000 ₽</t>
        </is>
      </c>
    </row>
    <row r="7">
      <c r="A7" t="inlineStr">
        <is>
          <t>Средняя частота показа (для охвата)</t>
        </is>
      </c>
      <c r="B7" s="3" t="n">
        <v>3</v>
      </c>
      <c r="D7" t="n">
        <v>360000</v>
      </c>
      <c r="E7" s="5" t="n">
        <v>0.2</v>
      </c>
      <c r="F7" s="5" t="n">
        <v>0.2</v>
      </c>
    </row>
    <row r="8">
      <c r="A8" t="inlineStr">
        <is>
          <t>Срок теста, мес</t>
        </is>
      </c>
      <c r="B8" s="3" t="n">
        <v>2</v>
      </c>
      <c r="D8" t="n">
        <v>1099999</v>
      </c>
      <c r="E8" s="5" t="n">
        <v>0.2</v>
      </c>
      <c r="F8" s="5" t="n">
        <v>0.1</v>
      </c>
    </row>
    <row r="9">
      <c r="D9" t="n">
        <v>1999999</v>
      </c>
      <c r="E9" s="5" t="n">
        <v>0.2</v>
      </c>
      <c r="F9" s="5" t="n">
        <v>0.08</v>
      </c>
    </row>
    <row r="10">
      <c r="D10" t="n">
        <v>6999999</v>
      </c>
      <c r="E10" s="5" t="n">
        <v>0.2</v>
      </c>
      <c r="F10" s="5" t="n">
        <v>0.06</v>
      </c>
    </row>
    <row r="11">
      <c r="D11" t="n">
        <v>9999999</v>
      </c>
      <c r="E11" s="5" t="n">
        <v>0.2</v>
      </c>
      <c r="F11" s="5" t="n">
        <v>0.04</v>
      </c>
    </row>
    <row r="12">
      <c r="D12" t="inlineStr">
        <is>
          <t>свыше</t>
        </is>
      </c>
      <c r="E12" s="5" t="n">
        <v>0.2</v>
      </c>
      <c r="F12" s="5" t="n">
        <v>0.02</v>
      </c>
    </row>
    <row r="14">
      <c r="A14" s="2" t="inlineStr">
        <is>
          <t>Расчёт по сегментам (бюджет делится поровну между сегментами)</t>
        </is>
      </c>
    </row>
    <row r="15">
      <c r="A15" s="2" t="inlineStr">
        <is>
          <t>Сегмент</t>
        </is>
      </c>
      <c r="B15" s="2" t="inlineStr">
        <is>
          <t>Бюджет, ₽</t>
        </is>
      </c>
      <c r="C15" s="2" t="inlineStr">
        <is>
          <t>CPM, ₽</t>
        </is>
      </c>
      <c r="D15" s="2" t="inlineStr">
        <is>
          <t>CTR</t>
        </is>
      </c>
      <c r="E15" s="2" t="inlineStr">
        <is>
          <t>Показы</t>
        </is>
      </c>
      <c r="F15" s="2" t="inlineStr">
        <is>
          <t>Охват (оценка)</t>
        </is>
      </c>
      <c r="G15" s="2" t="inlineStr">
        <is>
          <t>Клики</t>
        </is>
      </c>
      <c r="H15" s="2" t="inlineStr">
        <is>
          <t>CPC, ₽</t>
        </is>
      </c>
      <c r="I15" s="2" t="inlineStr">
        <is>
          <t>Заявки</t>
        </is>
      </c>
      <c r="J15" s="2" t="inlineStr">
        <is>
          <t>CPL медиа, ₽</t>
        </is>
      </c>
      <c r="K15" s="2" t="inlineStr">
        <is>
          <t>Ёмкость: уникальных / мес</t>
        </is>
      </c>
    </row>
    <row r="16">
      <c r="A16" t="inlineStr">
        <is>
          <t>Ozon Travel + Путешествия (аксессуары)</t>
        </is>
      </c>
      <c r="B16" s="6">
        <f>$B$5/3</f>
        <v/>
      </c>
      <c r="C16" s="7" t="n">
        <v>170</v>
      </c>
      <c r="D16" s="8" t="n">
        <v>0.0023</v>
      </c>
      <c r="E16" s="6">
        <f>B16/C16*1000</f>
        <v/>
      </c>
      <c r="F16" s="6">
        <f>E16/$B$7</f>
        <v/>
      </c>
      <c r="G16" s="6">
        <f>E16*D16</f>
        <v/>
      </c>
      <c r="H16" s="6">
        <f>B16/G16</f>
        <v/>
      </c>
      <c r="I16" s="6">
        <f>G16*$B$6</f>
        <v/>
      </c>
      <c r="J16" s="6">
        <f>B16/I16</f>
        <v/>
      </c>
      <c r="K16" s="6" t="n">
        <v>19458325</v>
      </c>
    </row>
    <row r="17">
      <c r="A17" t="inlineStr">
        <is>
          <t>Пляжная одежда + солнцезащита (сезон)</t>
        </is>
      </c>
      <c r="B17" s="6">
        <f>$B$5/3</f>
        <v/>
      </c>
      <c r="C17" s="7" t="n">
        <v>143</v>
      </c>
      <c r="D17" s="8" t="n">
        <v>0.0015</v>
      </c>
      <c r="E17" s="6">
        <f>B17/C17*1000</f>
        <v/>
      </c>
      <c r="F17" s="6">
        <f>E17/$B$7</f>
        <v/>
      </c>
      <c r="G17" s="6">
        <f>E17*D17</f>
        <v/>
      </c>
      <c r="H17" s="6">
        <f>B17/G17</f>
        <v/>
      </c>
      <c r="I17" s="6">
        <f>G17*$B$6</f>
        <v/>
      </c>
      <c r="J17" s="6">
        <f>B17/I17</f>
        <v/>
      </c>
      <c r="K17" s="6" t="n">
        <v>7191660</v>
      </c>
    </row>
    <row r="18">
      <c r="A18" t="inlineStr">
        <is>
          <t>Широкая 25–55, города вылета</t>
        </is>
      </c>
      <c r="B18" s="6">
        <f>$B$5/3</f>
        <v/>
      </c>
      <c r="C18" s="7" t="n">
        <v>144</v>
      </c>
      <c r="D18" s="8" t="n">
        <v>0.0011</v>
      </c>
      <c r="E18" s="6">
        <f>B18/C18*1000</f>
        <v/>
      </c>
      <c r="F18" s="6">
        <f>E18/$B$7</f>
        <v/>
      </c>
      <c r="G18" s="6">
        <f>E18*D18</f>
        <v/>
      </c>
      <c r="H18" s="6">
        <f>B18/G18</f>
        <v/>
      </c>
      <c r="I18" s="6">
        <f>G18*$B$6</f>
        <v/>
      </c>
      <c r="J18" s="6">
        <f>B18/I18</f>
        <v/>
      </c>
      <c r="K18" s="6" t="n">
        <v>21646162</v>
      </c>
    </row>
    <row r="19">
      <c r="A19" s="2" t="inlineStr">
        <is>
          <t>Итого медиа Ozon Performance</t>
        </is>
      </c>
      <c r="B19" s="9">
        <f>SUM(B16:B18)</f>
        <v/>
      </c>
      <c r="C19" s="6">
        <f>B19/E19*1000</f>
        <v/>
      </c>
      <c r="D19" s="10">
        <f>G19/E19</f>
        <v/>
      </c>
      <c r="E19" s="9">
        <f>SUM(E16:E18)</f>
        <v/>
      </c>
      <c r="F19" s="9">
        <f>SUM(F16:F18)</f>
        <v/>
      </c>
      <c r="G19" s="9">
        <f>SUM(G16:G18)</f>
        <v/>
      </c>
      <c r="H19" s="6">
        <f>B19/G19</f>
        <v/>
      </c>
      <c r="I19" s="9">
        <f>SUM(I16:I18)</f>
        <v/>
      </c>
      <c r="J19" s="6">
        <f>B19/I19</f>
        <v/>
      </c>
      <c r="K19" s="6" t="n"/>
    </row>
    <row r="20">
      <c r="A20" t="inlineStr">
        <is>
          <t>Сопровождение, 1-й месяц (по шкале)</t>
        </is>
      </c>
      <c r="B20" s="6">
        <f>IF($B$5&lt;=200000,50000,IF($B$5&lt;=360000,$B$5*0.2,$B$5*0.2))</f>
        <v/>
      </c>
      <c r="C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t="inlineStr">
        <is>
          <t>Сопровождение, со 2-го месяца (со скидкой)</t>
        </is>
      </c>
      <c r="B21" s="6">
        <f>IF($B$5&lt;=200000,50000,IF($B$5&lt;=360000,$B$5*0.2,IF($B$5&lt;=1099999,$B$5*0.1,IF($B$5&lt;=1999999,$B$5*0.08,IF($B$5&lt;=6999999,$B$5*0.06,IF($B$5&lt;=9999999,$B$5*0.04,$B$5*0.02))))))</f>
        <v/>
      </c>
      <c r="C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t="inlineStr">
        <is>
          <t>Итого в месяц, 1-й месяц</t>
        </is>
      </c>
      <c r="B22" s="6">
        <f>B19+B20</f>
        <v/>
      </c>
      <c r="C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t="inlineStr">
        <is>
          <t>Итого в месяц, со 2-го месяца</t>
        </is>
      </c>
      <c r="B23" s="6">
        <f>B19+B21</f>
        <v/>
      </c>
      <c r="C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t="inlineStr">
        <is>
          <t>CPC с сопровождением (со 2-го мес), ₽</t>
        </is>
      </c>
      <c r="B24" s="6">
        <f>B23/G19</f>
        <v/>
      </c>
      <c r="C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t="inlineStr">
        <is>
          <t>CPL с сопровождением (со 2-го мес), ₽</t>
        </is>
      </c>
      <c r="B25" s="6">
        <f>B23/I19</f>
        <v/>
      </c>
      <c r="C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t="inlineStr">
        <is>
          <t>Итого за срок теста, ₽</t>
        </is>
      </c>
      <c r="B26" s="6">
        <f>B22+B23*($B$8-1)</f>
        <v/>
      </c>
      <c r="C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t="inlineStr">
        <is>
          <t>Кликов за срок теста</t>
        </is>
      </c>
      <c r="B27" s="6">
        <f>G19*$B$8</f>
        <v/>
      </c>
      <c r="C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t="inlineStr">
        <is>
          <t>Заявок за срок теста</t>
        </is>
      </c>
      <c r="B28" s="6">
        <f>I19*$B$8</f>
        <v/>
      </c>
      <c r="C28" s="6" t="n"/>
      <c r="E28" s="6" t="n"/>
      <c r="F28" s="6" t="n"/>
      <c r="G28" s="6" t="n"/>
      <c r="H28" s="6" t="n"/>
      <c r="I28" s="6" t="n"/>
      <c r="J28" s="6" t="n"/>
      <c r="K28" s="6" t="n"/>
    </row>
    <row r="30">
      <c r="A30" t="inlineStr">
        <is>
          <t>Условия: контракт от 6 мес, тестовый период 8 недель. Оговорённый тестовый бюджет — 500 000 ₽/мес, может быть меньше (ниже 360 001 ₽ сопровождение 20% без скидки).</t>
        </is>
      </c>
    </row>
    <row r="31">
      <c r="A31" t="inlineStr">
        <is>
          <t>Церебро Таргет · направление Click Out · clickout.cerebrotarget.ru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2026-09-08T10:21:42Z</dcterms:created>
  <dcterms:modified xmlns:dcterms="http://purl.org/dc/terms/" xmlns:xsi="http://www.w3.org/2001/XMLSchema-instance" xsi:type="dcterms:W3CDTF">2026-09-08T10:21:42Z</dcterms:modified>
</cp:coreProperties>
</file>