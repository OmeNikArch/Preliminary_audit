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</row>
    <row r="5">
      <c r="A5" t="inlineStr">
        <is>
          <t>Медиабюджет Ozon Performance, ₽/мес</t>
        </is>
      </c>
      <c r="B5" s="3" t="n">
        <v>200000</v>
      </c>
    </row>
    <row r="6">
      <c r="A6" t="inlineStr">
        <is>
          <t>Сопровождение 1 источник, ₽/мес</t>
        </is>
      </c>
      <c r="B6" s="3" t="n">
        <v>50000</v>
      </c>
    </row>
    <row r="7">
      <c r="A7" t="inlineStr">
        <is>
          <t>Конверсия клика в заявку</t>
        </is>
      </c>
      <c r="B7" s="4" t="n">
        <v>0.015</v>
      </c>
    </row>
    <row r="8">
      <c r="A8" t="inlineStr">
        <is>
          <t>Средняя частота показа (для охвата)</t>
        </is>
      </c>
      <c r="B8" s="3" t="n">
        <v>3</v>
      </c>
    </row>
    <row r="9">
      <c r="A9" t="inlineStr">
        <is>
          <t>Срок теста, мес</t>
        </is>
      </c>
      <c r="B9" s="3" t="n">
        <v>2</v>
      </c>
    </row>
    <row r="11">
      <c r="A11" s="2" t="inlineStr">
        <is>
          <t>Расчёт по сегментам (бюджет делится поровну между сегментами)</t>
        </is>
      </c>
    </row>
    <row r="12">
      <c r="A12" s="2" t="inlineStr">
        <is>
          <t>Сегмент</t>
        </is>
      </c>
      <c r="B12" s="2" t="inlineStr">
        <is>
          <t>Бюджет, ₽</t>
        </is>
      </c>
      <c r="C12" s="2" t="inlineStr">
        <is>
          <t>CPM, ₽</t>
        </is>
      </c>
      <c r="D12" s="2" t="inlineStr">
        <is>
          <t>CTR</t>
        </is>
      </c>
      <c r="E12" s="2" t="inlineStr">
        <is>
          <t>Показы</t>
        </is>
      </c>
      <c r="F12" s="2" t="inlineStr">
        <is>
          <t>Охват (оценка)</t>
        </is>
      </c>
      <c r="G12" s="2" t="inlineStr">
        <is>
          <t>Клики</t>
        </is>
      </c>
      <c r="H12" s="2" t="inlineStr">
        <is>
          <t>CPC, ₽</t>
        </is>
      </c>
      <c r="I12" s="2" t="inlineStr">
        <is>
          <t>Заявки</t>
        </is>
      </c>
      <c r="J12" s="2" t="inlineStr">
        <is>
          <t>CPL медиа, ₽</t>
        </is>
      </c>
      <c r="K12" s="2" t="inlineStr">
        <is>
          <t>Ёмкость: уникальных / мес</t>
        </is>
      </c>
    </row>
    <row r="13">
      <c r="A13" t="inlineStr">
        <is>
          <t>Ozon Travel + Путешествия (аксессуары)</t>
        </is>
      </c>
      <c r="B13" s="5">
        <f>$B$5/3</f>
        <v/>
      </c>
      <c r="C13" s="6" t="n">
        <v>170</v>
      </c>
      <c r="D13" s="7" t="n">
        <v>0.0023</v>
      </c>
      <c r="E13" s="5">
        <f>B13/C13*1000</f>
        <v/>
      </c>
      <c r="F13" s="5">
        <f>E13/$B$8</f>
        <v/>
      </c>
      <c r="G13" s="5">
        <f>E13*D13</f>
        <v/>
      </c>
      <c r="H13" s="5">
        <f>B13/G13</f>
        <v/>
      </c>
      <c r="I13" s="5">
        <f>G13*$B$7</f>
        <v/>
      </c>
      <c r="J13" s="5">
        <f>B13/I13</f>
        <v/>
      </c>
      <c r="K13" s="5" t="n">
        <v>19458325</v>
      </c>
    </row>
    <row r="14">
      <c r="A14" t="inlineStr">
        <is>
          <t>Пляжная одежда + солнцезащита (сезон)</t>
        </is>
      </c>
      <c r="B14" s="5">
        <f>$B$5/3</f>
        <v/>
      </c>
      <c r="C14" s="6" t="n">
        <v>143</v>
      </c>
      <c r="D14" s="7" t="n">
        <v>0.0015</v>
      </c>
      <c r="E14" s="5">
        <f>B14/C14*1000</f>
        <v/>
      </c>
      <c r="F14" s="5">
        <f>E14/$B$8</f>
        <v/>
      </c>
      <c r="G14" s="5">
        <f>E14*D14</f>
        <v/>
      </c>
      <c r="H14" s="5">
        <f>B14/G14</f>
        <v/>
      </c>
      <c r="I14" s="5">
        <f>G14*$B$7</f>
        <v/>
      </c>
      <c r="J14" s="5">
        <f>B14/I14</f>
        <v/>
      </c>
      <c r="K14" s="5" t="n">
        <v>7191660</v>
      </c>
    </row>
    <row r="15">
      <c r="A15" t="inlineStr">
        <is>
          <t>Широкая 25–55, города вылета</t>
        </is>
      </c>
      <c r="B15" s="5">
        <f>$B$5/3</f>
        <v/>
      </c>
      <c r="C15" s="6" t="n">
        <v>144</v>
      </c>
      <c r="D15" s="7" t="n">
        <v>0.0011</v>
      </c>
      <c r="E15" s="5">
        <f>B15/C15*1000</f>
        <v/>
      </c>
      <c r="F15" s="5">
        <f>E15/$B$8</f>
        <v/>
      </c>
      <c r="G15" s="5">
        <f>E15*D15</f>
        <v/>
      </c>
      <c r="H15" s="5">
        <f>B15/G15</f>
        <v/>
      </c>
      <c r="I15" s="5">
        <f>G15*$B$7</f>
        <v/>
      </c>
      <c r="J15" s="5">
        <f>B15/I15</f>
        <v/>
      </c>
      <c r="K15" s="5" t="n">
        <v>21646162</v>
      </c>
    </row>
    <row r="16">
      <c r="A16" s="2" t="inlineStr">
        <is>
          <t>Итого медиа Ozon Performance</t>
        </is>
      </c>
      <c r="B16" s="8">
        <f>SUM(B13:B15)</f>
        <v/>
      </c>
      <c r="C16" s="5">
        <f>B16/E16*1000</f>
        <v/>
      </c>
      <c r="D16" s="9">
        <f>G16/E16</f>
        <v/>
      </c>
      <c r="E16" s="8">
        <f>SUM(E13:E15)</f>
        <v/>
      </c>
      <c r="F16" s="8">
        <f>SUM(F13:F15)</f>
        <v/>
      </c>
      <c r="G16" s="8">
        <f>SUM(G13:G15)</f>
        <v/>
      </c>
      <c r="H16" s="5">
        <f>B16/G16</f>
        <v/>
      </c>
      <c r="I16" s="8">
        <f>SUM(I13:I15)</f>
        <v/>
      </c>
      <c r="J16" s="5">
        <f>B16/I16</f>
        <v/>
      </c>
      <c r="K16" s="5" t="n"/>
    </row>
    <row r="17">
      <c r="A17" t="inlineStr">
        <is>
          <t>Сопровождение</t>
        </is>
      </c>
      <c r="B17" s="5">
        <f>$B$6</f>
        <v/>
      </c>
      <c r="C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2" t="inlineStr">
        <is>
          <t>Итого в месяц</t>
        </is>
      </c>
      <c r="B18" s="8">
        <f>B16+B17</f>
        <v/>
      </c>
      <c r="C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t="inlineStr">
        <is>
          <t>CPC с сопровождением, ₽</t>
        </is>
      </c>
      <c r="B19" s="5">
        <f>B18/G16</f>
        <v/>
      </c>
      <c r="C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t="inlineStr">
        <is>
          <t>CPL с сопровождением, ₽</t>
        </is>
      </c>
      <c r="B20" s="5">
        <f>B18/I16</f>
        <v/>
      </c>
      <c r="C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2" t="inlineStr">
        <is>
          <t>Итого за срок теста, ₽</t>
        </is>
      </c>
      <c r="B21" s="8">
        <f>B18*$B$9</f>
        <v/>
      </c>
      <c r="C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t="inlineStr">
        <is>
          <t>Кликов за срок теста</t>
        </is>
      </c>
      <c r="B22" s="5">
        <f>G16*$B$9</f>
        <v/>
      </c>
      <c r="C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t="inlineStr">
        <is>
          <t>Заявок за срок теста</t>
        </is>
      </c>
      <c r="B23" s="5">
        <f>I16*$B$9</f>
        <v/>
      </c>
      <c r="C23" s="5" t="n"/>
      <c r="E23" s="5" t="n"/>
      <c r="F23" s="5" t="n"/>
      <c r="G23" s="5" t="n"/>
      <c r="H23" s="5" t="n"/>
      <c r="I23" s="5" t="n"/>
      <c r="J23" s="5" t="n"/>
      <c r="K23" s="5" t="n"/>
    </row>
    <row r="25">
      <c r="A25" t="inlineStr">
        <is>
          <t>Условия: бюджет от 120 000 ₽/мес, контракт от 6 мес, тестовый период 8 недель, сопровождение 1 источника — 50 000 ₽/мес. Бонусные рубли по шкале Церебро — с расхода от 360 001 ₽/мес.</t>
        </is>
      </c>
    </row>
    <row r="26">
      <c r="A26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2026-09-08T09:40:29Z</dcterms:created>
  <dcterms:modified xmlns:dcterms="http://purl.org/dc/terms/" xmlns:xsi="http://www.w3.org/2001/XMLSchema-instance" xsi:type="dcterms:W3CDTF">2026-09-08T09:40:29Z</dcterms:modified>
</cp:coreProperties>
</file>