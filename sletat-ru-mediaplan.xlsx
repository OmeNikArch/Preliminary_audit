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Медиаплан теста · Слетать.ру · Cerebro Click Out · Ozon Performance + Яндекс Urban Ads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кабинетов площадок (Ozon — факт кабинета, Urban — расчёт до ответа площадки). WB Media недоступен (WB Тревел).</t>
        </is>
      </c>
    </row>
    <row r="4">
      <c r="A4" s="2" t="inlineStr">
        <is>
          <t>Параметры</t>
        </is>
      </c>
    </row>
    <row r="5">
      <c r="A5" t="inlineStr">
        <is>
          <t>Бюджет на источник, ₽/мес</t>
        </is>
      </c>
      <c r="B5" s="3" t="n">
        <v>200000</v>
      </c>
    </row>
    <row r="6">
      <c r="A6" t="inlineStr">
        <is>
          <t>Сопровождение 2 источника, ₽/мес</t>
        </is>
      </c>
      <c r="B6" s="3" t="n">
        <v>80000</v>
      </c>
    </row>
    <row r="7">
      <c r="A7" t="inlineStr">
        <is>
          <t>Конверсия клика в заявку</t>
        </is>
      </c>
      <c r="B7" s="4" t="n">
        <v>0.015</v>
      </c>
    </row>
    <row r="8">
      <c r="A8" t="inlineStr">
        <is>
          <t>Средняя частота показа (для охвата)</t>
        </is>
      </c>
      <c r="B8" s="3" t="n">
        <v>3</v>
      </c>
    </row>
    <row r="9">
      <c r="A9" t="inlineStr">
        <is>
          <t>Срок теста, мес</t>
        </is>
      </c>
      <c r="B9" s="3" t="n">
        <v>2</v>
      </c>
    </row>
    <row r="11">
      <c r="A11" s="2" t="inlineStr">
        <is>
          <t>Расчёт по сегментам (бюджет источника делится поровну между его сегментами)</t>
        </is>
      </c>
    </row>
    <row r="12">
      <c r="A12" s="2" t="inlineStr">
        <is>
          <t>Сегмент</t>
        </is>
      </c>
      <c r="B12" s="2" t="inlineStr">
        <is>
          <t>Источник</t>
        </is>
      </c>
      <c r="C12" s="2" t="inlineStr">
        <is>
          <t>Бюджет, ₽</t>
        </is>
      </c>
      <c r="D12" s="2" t="inlineStr">
        <is>
          <t>CPM, ₽</t>
        </is>
      </c>
      <c r="E12" s="2" t="inlineStr">
        <is>
          <t>CTR</t>
        </is>
      </c>
      <c r="F12" s="2" t="inlineStr">
        <is>
          <t>Показы</t>
        </is>
      </c>
      <c r="G12" s="2" t="inlineStr">
        <is>
          <t>Охват (оценка)</t>
        </is>
      </c>
      <c r="H12" s="2" t="inlineStr">
        <is>
          <t>Клики</t>
        </is>
      </c>
      <c r="I12" s="2" t="inlineStr">
        <is>
          <t>CPC, ₽</t>
        </is>
      </c>
      <c r="J12" s="2" t="inlineStr">
        <is>
          <t>Заявки</t>
        </is>
      </c>
      <c r="K12" s="2" t="inlineStr">
        <is>
          <t>CPL медиа, ₽</t>
        </is>
      </c>
      <c r="L12" s="2" t="inlineStr">
        <is>
          <t>Ёмкость: уникальных / мес</t>
        </is>
      </c>
    </row>
    <row r="13">
      <c r="A13" t="inlineStr">
        <is>
          <t>Ozon Travel + Путешествия (аксессуары)</t>
        </is>
      </c>
      <c r="B13" t="inlineStr">
        <is>
          <t>Ozon Performance</t>
        </is>
      </c>
      <c r="C13" s="5">
        <f>$B$5/3</f>
        <v/>
      </c>
      <c r="D13" s="6" t="n">
        <v>170</v>
      </c>
      <c r="E13" s="7" t="n">
        <v>0.0023</v>
      </c>
      <c r="F13" s="5">
        <f>C13/D13*1000</f>
        <v/>
      </c>
      <c r="G13" s="5">
        <f>F13/$B$8</f>
        <v/>
      </c>
      <c r="H13" s="5">
        <f>F13*E13</f>
        <v/>
      </c>
      <c r="I13" s="5">
        <f>C13/H13</f>
        <v/>
      </c>
      <c r="J13" s="5">
        <f>H13*$B$7</f>
        <v/>
      </c>
      <c r="K13" s="5">
        <f>C13/J13</f>
        <v/>
      </c>
      <c r="L13" s="5" t="n">
        <v>19458325</v>
      </c>
    </row>
    <row r="14">
      <c r="A14" t="inlineStr">
        <is>
          <t>Пляжная одежда + солнцезащита (сезон)</t>
        </is>
      </c>
      <c r="B14" t="inlineStr">
        <is>
          <t>Ozon Performance</t>
        </is>
      </c>
      <c r="C14" s="5">
        <f>$B$5/3</f>
        <v/>
      </c>
      <c r="D14" s="6" t="n">
        <v>143</v>
      </c>
      <c r="E14" s="7" t="n">
        <v>0.0015</v>
      </c>
      <c r="F14" s="5">
        <f>C14/D14*1000</f>
        <v/>
      </c>
      <c r="G14" s="5">
        <f>F14/$B$8</f>
        <v/>
      </c>
      <c r="H14" s="5">
        <f>F14*E14</f>
        <v/>
      </c>
      <c r="I14" s="5">
        <f>C14/H14</f>
        <v/>
      </c>
      <c r="J14" s="5">
        <f>H14*$B$7</f>
        <v/>
      </c>
      <c r="K14" s="5">
        <f>C14/J14</f>
        <v/>
      </c>
      <c r="L14" s="5" t="n">
        <v>7191660</v>
      </c>
    </row>
    <row r="15">
      <c r="A15" t="inlineStr">
        <is>
          <t>Широкая 25–55, города вылета</t>
        </is>
      </c>
      <c r="B15" t="inlineStr">
        <is>
          <t>Ozon Performance</t>
        </is>
      </c>
      <c r="C15" s="5">
        <f>$B$5/3</f>
        <v/>
      </c>
      <c r="D15" s="6" t="n">
        <v>144</v>
      </c>
      <c r="E15" s="7" t="n">
        <v>0.0011</v>
      </c>
      <c r="F15" s="5">
        <f>C15/D15*1000</f>
        <v/>
      </c>
      <c r="G15" s="5">
        <f>F15/$B$8</f>
        <v/>
      </c>
      <c r="H15" s="5">
        <f>F15*E15</f>
        <v/>
      </c>
      <c r="I15" s="5">
        <f>C15/H15</f>
        <v/>
      </c>
      <c r="J15" s="5">
        <f>H15*$B$7</f>
        <v/>
      </c>
      <c r="K15" s="5">
        <f>C15/J15</f>
        <v/>
      </c>
      <c r="L15" s="5" t="n">
        <v>21646162</v>
      </c>
    </row>
    <row r="16">
      <c r="A16" s="2" t="inlineStr">
        <is>
          <t>Итого Ozon Performance</t>
        </is>
      </c>
      <c r="C16" s="8">
        <f>SUM(C13:C15)</f>
        <v/>
      </c>
      <c r="D16" s="5">
        <f>C16/F16*1000</f>
        <v/>
      </c>
      <c r="E16" s="9">
        <f>H16/F16</f>
        <v/>
      </c>
      <c r="F16" s="8">
        <f>SUM(F13:F15)</f>
        <v/>
      </c>
      <c r="G16" s="8">
        <f>SUM(G13:G15)</f>
        <v/>
      </c>
      <c r="H16" s="8">
        <f>SUM(H13:H15)</f>
        <v/>
      </c>
      <c r="I16" s="5">
        <f>C16/H16</f>
        <v/>
      </c>
      <c r="J16" s="8">
        <f>SUM(J13:J15)</f>
        <v/>
      </c>
      <c r="K16" s="5">
        <f>C16/J16</f>
        <v/>
      </c>
      <c r="L16" s="5" t="n"/>
    </row>
    <row r="17">
      <c r="A17" t="inlineStr">
        <is>
          <t>Чемоданы + путешествия-интересы</t>
        </is>
      </c>
      <c r="B17" t="inlineStr">
        <is>
          <t>Яндекс Urban Ads</t>
        </is>
      </c>
      <c r="C17" s="5">
        <f>$B$5/3</f>
        <v/>
      </c>
      <c r="D17" s="6" t="n">
        <v>268</v>
      </c>
      <c r="E17" s="7" t="n">
        <v>0.0018</v>
      </c>
      <c r="F17" s="5">
        <f>C17/D17*1000</f>
        <v/>
      </c>
      <c r="G17" s="5">
        <f>F17/$B$8</f>
        <v/>
      </c>
      <c r="H17" s="5">
        <f>F17*E17</f>
        <v/>
      </c>
      <c r="I17" s="5">
        <f>C17/H17</f>
        <v/>
      </c>
      <c r="J17" s="5">
        <f>H17*$B$7</f>
        <v/>
      </c>
      <c r="K17" s="5">
        <f>C17/J17</f>
        <v/>
      </c>
      <c r="L17" s="5" t="n">
        <v>14945220</v>
      </c>
    </row>
    <row r="18">
      <c r="A18" t="inlineStr">
        <is>
          <t>Семьи (прогулки и путешествия)</t>
        </is>
      </c>
      <c r="B18" t="inlineStr">
        <is>
          <t>Яндекс Urban Ads</t>
        </is>
      </c>
      <c r="C18" s="5">
        <f>$B$5/3</f>
        <v/>
      </c>
      <c r="D18" s="6" t="n">
        <v>263</v>
      </c>
      <c r="E18" s="7" t="n">
        <v>0.0015</v>
      </c>
      <c r="F18" s="5">
        <f>C18/D18*1000</f>
        <v/>
      </c>
      <c r="G18" s="5">
        <f>F18/$B$8</f>
        <v/>
      </c>
      <c r="H18" s="5">
        <f>F18*E18</f>
        <v/>
      </c>
      <c r="I18" s="5">
        <f>C18/H18</f>
        <v/>
      </c>
      <c r="J18" s="5">
        <f>H18*$B$7</f>
        <v/>
      </c>
      <c r="K18" s="5">
        <f>C18/J18</f>
        <v/>
      </c>
      <c r="L18" s="5" t="n">
        <v>7050460</v>
      </c>
    </row>
    <row r="19">
      <c r="A19" t="inlineStr">
        <is>
          <t>Широкая, доход средний+</t>
        </is>
      </c>
      <c r="B19" t="inlineStr">
        <is>
          <t>Яндекс Urban Ads</t>
        </is>
      </c>
      <c r="C19" s="5">
        <f>$B$5/3</f>
        <v/>
      </c>
      <c r="D19" s="6" t="n">
        <v>255</v>
      </c>
      <c r="E19" s="7" t="n">
        <v>0.001</v>
      </c>
      <c r="F19" s="5">
        <f>C19/D19*1000</f>
        <v/>
      </c>
      <c r="G19" s="5">
        <f>F19/$B$8</f>
        <v/>
      </c>
      <c r="H19" s="5">
        <f>F19*E19</f>
        <v/>
      </c>
      <c r="I19" s="5">
        <f>C19/H19</f>
        <v/>
      </c>
      <c r="J19" s="5">
        <f>H19*$B$7</f>
        <v/>
      </c>
      <c r="K19" s="5">
        <f>C19/J19</f>
        <v/>
      </c>
      <c r="L19" s="5" t="n">
        <v>9638770</v>
      </c>
    </row>
    <row r="20">
      <c r="A20" s="2" t="inlineStr">
        <is>
          <t>Итого Яндекс Urban Ads</t>
        </is>
      </c>
      <c r="C20" s="8">
        <f>SUM(C17:C19)</f>
        <v/>
      </c>
      <c r="D20" s="5">
        <f>C20/F20*1000</f>
        <v/>
      </c>
      <c r="E20" s="9">
        <f>H20/F20</f>
        <v/>
      </c>
      <c r="F20" s="8">
        <f>SUM(F17:F19)</f>
        <v/>
      </c>
      <c r="G20" s="8">
        <f>SUM(G17:G19)</f>
        <v/>
      </c>
      <c r="H20" s="8">
        <f>SUM(H17:H19)</f>
        <v/>
      </c>
      <c r="I20" s="5">
        <f>C20/H20</f>
        <v/>
      </c>
      <c r="J20" s="8">
        <f>SUM(J17:J19)</f>
        <v/>
      </c>
      <c r="K20" s="5">
        <f>C20/J20</f>
        <v/>
      </c>
      <c r="L20" s="5" t="n"/>
    </row>
    <row r="21">
      <c r="A21" s="2" t="inlineStr">
        <is>
          <t>Итого медиа (два источника)</t>
        </is>
      </c>
      <c r="C21" s="8">
        <f>C16+C20</f>
        <v/>
      </c>
      <c r="D21" s="5" t="n"/>
      <c r="F21" s="8">
        <f>F16+F20</f>
        <v/>
      </c>
      <c r="G21" s="8">
        <f>G16+G20</f>
        <v/>
      </c>
      <c r="H21" s="8">
        <f>H16+H20</f>
        <v/>
      </c>
      <c r="I21" s="5">
        <f>C21/H21</f>
        <v/>
      </c>
      <c r="J21" s="8">
        <f>J16+J20</f>
        <v/>
      </c>
      <c r="K21" s="5">
        <f>C21/J21</f>
        <v/>
      </c>
      <c r="L21" s="5" t="n"/>
    </row>
    <row r="22">
      <c r="A22" t="inlineStr">
        <is>
          <t>Сопровождение</t>
        </is>
      </c>
      <c r="C22" s="5">
        <f>$B$6</f>
        <v/>
      </c>
      <c r="D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2" t="inlineStr">
        <is>
          <t>Итого в месяц</t>
        </is>
      </c>
      <c r="C23" s="8">
        <f>C21+C22</f>
        <v/>
      </c>
      <c r="D23" s="5" t="n"/>
      <c r="F23" s="5" t="n"/>
      <c r="G23" s="5" t="n"/>
      <c r="H23" s="5" t="n"/>
      <c r="I23" s="5" t="n"/>
      <c r="J23" s="5" t="n"/>
      <c r="K23" s="5" t="n"/>
      <c r="L23" s="5" t="n"/>
    </row>
    <row r="24">
      <c r="A24" t="inlineStr">
        <is>
          <t>CPC с сопровождением, ₽</t>
        </is>
      </c>
      <c r="C24" s="5">
        <f>C23/H21</f>
        <v/>
      </c>
      <c r="D24" s="5" t="n"/>
      <c r="F24" s="5" t="n"/>
      <c r="G24" s="5" t="n"/>
      <c r="H24" s="5" t="n"/>
      <c r="I24" s="5" t="n"/>
      <c r="J24" s="5" t="n"/>
      <c r="K24" s="5" t="n"/>
      <c r="L24" s="5" t="n"/>
    </row>
    <row r="25">
      <c r="A25" t="inlineStr">
        <is>
          <t>CPL с сопровождением, ₽</t>
        </is>
      </c>
      <c r="C25" s="5">
        <f>C23/J21</f>
        <v/>
      </c>
      <c r="D25" s="5" t="n"/>
      <c r="F25" s="5" t="n"/>
      <c r="G25" s="5" t="n"/>
      <c r="H25" s="5" t="n"/>
      <c r="I25" s="5" t="n"/>
      <c r="J25" s="5" t="n"/>
      <c r="K25" s="5" t="n"/>
      <c r="L25" s="5" t="n"/>
    </row>
    <row r="26">
      <c r="A26" s="2" t="inlineStr">
        <is>
          <t>Итого за срок теста, ₽</t>
        </is>
      </c>
      <c r="C26" s="8">
        <f>C23*$B$9</f>
        <v/>
      </c>
      <c r="D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t="inlineStr">
        <is>
          <t>Кликов за срок теста</t>
        </is>
      </c>
      <c r="C27" s="5">
        <f>H21*$B$9</f>
        <v/>
      </c>
      <c r="D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t="inlineStr">
        <is>
          <t>Заявок за срок теста</t>
        </is>
      </c>
      <c r="C28" s="5">
        <f>J21*$B$9</f>
        <v/>
      </c>
      <c r="D28" s="5" t="n"/>
      <c r="F28" s="5" t="n"/>
      <c r="G28" s="5" t="n"/>
      <c r="H28" s="5" t="n"/>
      <c r="I28" s="5" t="n"/>
      <c r="J28" s="5" t="n"/>
      <c r="K28" s="5" t="n"/>
      <c r="L28" s="5" t="n"/>
    </row>
    <row r="30">
      <c r="A30" t="inlineStr">
        <is>
          <t>Условия: бюджет от 120 000 ₽/мес на источник, контракт от 6 мес, тестовый период 8 недель. Сопровождение: 1 источник — 50 000, 2 — 80 000 ₽/мес (тестовый период).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2026-09-08T09:15:05Z</dcterms:created>
  <dcterms:modified xmlns:dcterms="http://purl.org/dc/terms/" xmlns:xsi="http://www.w3.org/2001/XMLSchema-instance" xsi:type="dcterms:W3CDTF">2026-09-08T09:15:05Z</dcterms:modified>
</cp:coreProperties>
</file>